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Platform Comparison" sheetId="2" state="visible" r:id="rId2"/>
    <sheet xmlns:r="http://schemas.openxmlformats.org/officeDocument/2006/relationships" name="KMeans Seg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F1F1F"/>
      <sz val="10"/>
    </font>
    <font>
      <name val="Arial"/>
      <color rgb="001F1F1F"/>
      <sz val="10"/>
    </font>
    <font>
      <name val="Arial"/>
      <b val="1"/>
      <color rgb="00375623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4" customWidth="1" min="4" max="4"/>
    <col width="38" customWidth="1" min="5" max="5"/>
    <col width="10" customWidth="1" min="6" max="6"/>
  </cols>
  <sheetData>
    <row r="1" ht="35" customHeight="1">
      <c r="A1" s="1" t="inlineStr">
        <is>
          <t>SOCIAL MEDIA CAMPAIGN ANALYTICS — KPI SUMMARY</t>
        </is>
      </c>
    </row>
    <row r="2" ht="18" customHeight="1">
      <c r="A2" s="2" t="inlineStr">
        <is>
          <t>Dataset: Marketing Campaign Performance | Platforms: Facebook, Instagram, Google, LinkedIn, Twitter | Source: Kaggle (manishabhatt22)</t>
        </is>
      </c>
    </row>
    <row r="3" ht="8" customHeight="1"/>
    <row r="4" ht="22" customHeight="1">
      <c r="A4" s="3" t="inlineStr">
        <is>
          <t>KPI 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Platform/Type</t>
        </is>
      </c>
      <c r="E4" s="3" t="inlineStr">
        <is>
          <t>Business Insight</t>
        </is>
      </c>
      <c r="F4" s="3" t="inlineStr">
        <is>
          <t>Priority</t>
        </is>
      </c>
    </row>
    <row r="5">
      <c r="A5" s="4" t="inlineStr">
        <is>
          <t>Platforms Analyzed</t>
        </is>
      </c>
      <c r="B5" s="5" t="n">
        <v>5</v>
      </c>
      <c r="C5" s="5" t="inlineStr">
        <is>
          <t>Platforms</t>
        </is>
      </c>
      <c r="D5" s="6" t="inlineStr">
        <is>
          <t>All</t>
        </is>
      </c>
      <c r="E5" s="6" t="inlineStr">
        <is>
          <t>Facebook, Instagram, Google, LinkedIn, Twitter</t>
        </is>
      </c>
      <c r="F5" s="7" t="inlineStr">
        <is>
          <t>HIGH</t>
        </is>
      </c>
    </row>
    <row r="6">
      <c r="A6" s="8" t="inlineStr">
        <is>
          <t>Total Campaigns</t>
        </is>
      </c>
      <c r="B6" s="9" t="n">
        <v>200</v>
      </c>
      <c r="C6" s="9" t="inlineStr">
        <is>
          <t>Campaigns</t>
        </is>
      </c>
      <c r="D6" s="10" t="inlineStr">
        <is>
          <t>All</t>
        </is>
      </c>
      <c r="E6" s="10" t="inlineStr">
        <is>
          <t>Across all platforms</t>
        </is>
      </c>
      <c r="F6" s="11" t="inlineStr">
        <is>
          <t>HIGH</t>
        </is>
      </c>
    </row>
    <row r="7">
      <c r="A7" s="4" t="inlineStr">
        <is>
          <t>Avg CTR — Facebook</t>
        </is>
      </c>
      <c r="B7" s="5" t="inlineStr">
        <is>
          <t>2.4%</t>
        </is>
      </c>
      <c r="C7" s="5" t="inlineStr">
        <is>
          <t>%</t>
        </is>
      </c>
      <c r="D7" s="6" t="inlineStr">
        <is>
          <t>Facebook</t>
        </is>
      </c>
      <c r="E7" s="6" t="inlineStr">
        <is>
          <t>Above industry avg 1.9%</t>
        </is>
      </c>
      <c r="F7" s="7" t="inlineStr">
        <is>
          <t>HIGH</t>
        </is>
      </c>
    </row>
    <row r="8">
      <c r="A8" s="8" t="inlineStr">
        <is>
          <t>Avg CTR — Google</t>
        </is>
      </c>
      <c r="B8" s="9" t="inlineStr">
        <is>
          <t>3.1%</t>
        </is>
      </c>
      <c r="C8" s="9" t="inlineStr">
        <is>
          <t>%</t>
        </is>
      </c>
      <c r="D8" s="10" t="inlineStr">
        <is>
          <t>Google</t>
        </is>
      </c>
      <c r="E8" s="10" t="inlineStr">
        <is>
          <t>Search intent driven</t>
        </is>
      </c>
      <c r="F8" s="11" t="inlineStr">
        <is>
          <t>HIGH</t>
        </is>
      </c>
    </row>
    <row r="9" ht="18" customHeight="1">
      <c r="A9" s="4" t="inlineStr">
        <is>
          <t>Avg CTR — Instagram</t>
        </is>
      </c>
      <c r="B9" s="5" t="inlineStr">
        <is>
          <t>1.8%</t>
        </is>
      </c>
      <c r="C9" s="5" t="inlineStr">
        <is>
          <t>%</t>
        </is>
      </c>
      <c r="D9" s="6" t="inlineStr">
        <is>
          <t>Instagram</t>
        </is>
      </c>
      <c r="E9" s="6" t="inlineStr">
        <is>
          <t>Visual engagement lower</t>
        </is>
      </c>
      <c r="F9" s="5" t="inlineStr">
        <is>
          <t>MEDIUM</t>
        </is>
      </c>
    </row>
    <row r="10" ht="18" customHeight="1">
      <c r="A10" s="8" t="inlineStr">
        <is>
          <t>Avg CTR — LinkedIn</t>
        </is>
      </c>
      <c r="B10" s="9" t="inlineStr">
        <is>
          <t>0.9%</t>
        </is>
      </c>
      <c r="C10" s="9" t="inlineStr">
        <is>
          <t>%</t>
        </is>
      </c>
      <c r="D10" s="10" t="inlineStr">
        <is>
          <t>LinkedIn</t>
        </is>
      </c>
      <c r="E10" s="10" t="inlineStr">
        <is>
          <t>B2B audience niche</t>
        </is>
      </c>
      <c r="F10" s="9" t="inlineStr">
        <is>
          <t>MEDIUM</t>
        </is>
      </c>
    </row>
    <row r="11" ht="18" customHeight="1">
      <c r="A11" s="4" t="inlineStr">
        <is>
          <t>Avg CTR — Twitter</t>
        </is>
      </c>
      <c r="B11" s="5" t="inlineStr">
        <is>
          <t>1.2%</t>
        </is>
      </c>
      <c r="C11" s="5" t="inlineStr">
        <is>
          <t>%</t>
        </is>
      </c>
      <c r="D11" s="6" t="inlineStr">
        <is>
          <t>Twitter</t>
        </is>
      </c>
      <c r="E11" s="6" t="inlineStr">
        <is>
          <t>Below average</t>
        </is>
      </c>
      <c r="F11" s="5" t="inlineStr">
        <is>
          <t>LOW</t>
        </is>
      </c>
    </row>
    <row r="12" ht="18" customHeight="1">
      <c r="A12" s="8" t="inlineStr">
        <is>
          <t>Best ROAS Platform</t>
        </is>
      </c>
      <c r="B12" s="9" t="inlineStr">
        <is>
          <t>Google</t>
        </is>
      </c>
      <c r="C12" s="9" t="inlineStr">
        <is>
          <t>Platform</t>
        </is>
      </c>
      <c r="D12" s="10" t="inlineStr">
        <is>
          <t>Search</t>
        </is>
      </c>
      <c r="E12" s="10" t="inlineStr">
        <is>
          <t>Highest return on spend</t>
        </is>
      </c>
      <c r="F12" s="11" t="inlineStr">
        <is>
          <t>HIGH</t>
        </is>
      </c>
    </row>
    <row r="13" ht="18" customHeight="1">
      <c r="A13" s="4" t="inlineStr">
        <is>
          <t>Avg ROAS — Google</t>
        </is>
      </c>
      <c r="B13" s="5" t="inlineStr">
        <is>
          <t>4.2x</t>
        </is>
      </c>
      <c r="C13" s="5" t="inlineStr">
        <is>
          <t>Ratio</t>
        </is>
      </c>
      <c r="D13" s="6" t="inlineStr">
        <is>
          <t>Google</t>
        </is>
      </c>
      <c r="E13" s="6" t="inlineStr">
        <is>
          <t>R$4.20 revenue per R$1 spend</t>
        </is>
      </c>
      <c r="F13" s="7" t="inlineStr">
        <is>
          <t>HIGH</t>
        </is>
      </c>
    </row>
    <row r="14" ht="18" customHeight="1">
      <c r="A14" s="8" t="inlineStr">
        <is>
          <t>Avg ROAS — Facebook</t>
        </is>
      </c>
      <c r="B14" s="9" t="inlineStr">
        <is>
          <t>3.1x</t>
        </is>
      </c>
      <c r="C14" s="9" t="inlineStr">
        <is>
          <t>Ratio</t>
        </is>
      </c>
      <c r="D14" s="10" t="inlineStr">
        <is>
          <t>Facebook</t>
        </is>
      </c>
      <c r="E14" s="10" t="inlineStr">
        <is>
          <t>Strong social ROAS</t>
        </is>
      </c>
      <c r="F14" s="11" t="inlineStr">
        <is>
          <t>HIGH</t>
        </is>
      </c>
    </row>
    <row r="15" ht="18" customHeight="1">
      <c r="A15" s="4" t="inlineStr">
        <is>
          <t>Avg ROAS — Instagram</t>
        </is>
      </c>
      <c r="B15" s="5" t="inlineStr">
        <is>
          <t>2.8x</t>
        </is>
      </c>
      <c r="C15" s="5" t="inlineStr">
        <is>
          <t>Ratio</t>
        </is>
      </c>
      <c r="D15" s="6" t="inlineStr">
        <is>
          <t>Instagram</t>
        </is>
      </c>
      <c r="E15" s="6" t="inlineStr">
        <is>
          <t>Visual product categories</t>
        </is>
      </c>
      <c r="F15" s="5" t="inlineStr">
        <is>
          <t>MEDIUM</t>
        </is>
      </c>
    </row>
    <row r="16" ht="18" customHeight="1">
      <c r="A16" s="8" t="inlineStr">
        <is>
          <t>Avg CPC — Google</t>
        </is>
      </c>
      <c r="B16" s="9" t="inlineStr">
        <is>
          <t>R$2.40</t>
        </is>
      </c>
      <c r="C16" s="9" t="inlineStr">
        <is>
          <t>BRL</t>
        </is>
      </c>
      <c r="D16" s="10" t="inlineStr">
        <is>
          <t>Google</t>
        </is>
      </c>
      <c r="E16" s="10" t="inlineStr">
        <is>
          <t>Search keyword cost</t>
        </is>
      </c>
      <c r="F16" s="9" t="inlineStr">
        <is>
          <t>MEDIUM</t>
        </is>
      </c>
    </row>
    <row r="17" ht="18" customHeight="1">
      <c r="A17" s="4" t="inlineStr">
        <is>
          <t>Avg CPC — Facebook</t>
        </is>
      </c>
      <c r="B17" s="5" t="inlineStr">
        <is>
          <t>R$1.80</t>
        </is>
      </c>
      <c r="C17" s="5" t="inlineStr">
        <is>
          <t>BRL</t>
        </is>
      </c>
      <c r="D17" s="6" t="inlineStr">
        <is>
          <t>Facebook</t>
        </is>
      </c>
      <c r="E17" s="6" t="inlineStr">
        <is>
          <t>Social feed cost</t>
        </is>
      </c>
      <c r="F17" s="5" t="inlineStr">
        <is>
          <t>MEDIUM</t>
        </is>
      </c>
    </row>
    <row r="18" ht="18" customHeight="1">
      <c r="A18" s="8" t="inlineStr">
        <is>
          <t>A/B Test Winner</t>
        </is>
      </c>
      <c r="B18" s="9" t="inlineStr">
        <is>
          <t>Creative Variant B</t>
        </is>
      </c>
      <c r="C18" s="9" t="inlineStr">
        <is>
          <t>Test</t>
        </is>
      </c>
      <c r="D18" s="10" t="inlineStr">
        <is>
          <t>Facebook</t>
        </is>
      </c>
      <c r="E18" s="10" t="inlineStr">
        <is>
          <t>+23% conversion uplift</t>
        </is>
      </c>
      <c r="F18" s="11" t="inlineStr">
        <is>
          <t>HIGH</t>
        </is>
      </c>
    </row>
    <row r="19" ht="18" customHeight="1">
      <c r="A19" s="4" t="inlineStr">
        <is>
          <t>KMeans Segments</t>
        </is>
      </c>
      <c r="B19" s="5" t="n">
        <v>3</v>
      </c>
      <c r="C19" s="5" t="inlineStr">
        <is>
          <t>Segments</t>
        </is>
      </c>
      <c r="D19" s="6" t="inlineStr">
        <is>
          <t>ML</t>
        </is>
      </c>
      <c r="E19" s="6" t="inlineStr">
        <is>
          <t>High/Medium/At-Risk ROAS</t>
        </is>
      </c>
      <c r="F19" s="7" t="inlineStr">
        <is>
          <t>HIGH</t>
        </is>
      </c>
    </row>
    <row r="20" ht="18" customHeight="1">
      <c r="A20" s="8" t="inlineStr">
        <is>
          <t>High ROAS Segment</t>
        </is>
      </c>
      <c r="B20" s="9" t="inlineStr">
        <is>
          <t>38 campaigns</t>
        </is>
      </c>
      <c r="C20" s="9" t="inlineStr">
        <is>
          <t>Campaigns</t>
        </is>
      </c>
      <c r="D20" s="10" t="inlineStr">
        <is>
          <t>ML</t>
        </is>
      </c>
      <c r="E20" s="10" t="inlineStr">
        <is>
          <t>Scale budget here</t>
        </is>
      </c>
      <c r="F20" s="11" t="inlineStr">
        <is>
          <t>HIGH</t>
        </is>
      </c>
    </row>
    <row r="21" ht="18" customHeight="1">
      <c r="A21" s="4" t="inlineStr">
        <is>
          <t>At-Risk Segment</t>
        </is>
      </c>
      <c r="B21" s="5" t="inlineStr">
        <is>
          <t>52 campaigns</t>
        </is>
      </c>
      <c r="C21" s="5" t="inlineStr">
        <is>
          <t>Campaigns</t>
        </is>
      </c>
      <c r="D21" s="6" t="inlineStr">
        <is>
          <t>ML</t>
        </is>
      </c>
      <c r="E21" s="6" t="inlineStr">
        <is>
          <t>Optimize or pause</t>
        </is>
      </c>
      <c r="F21" s="12" t="inlineStr">
        <is>
          <t>CRITICAL</t>
        </is>
      </c>
    </row>
    <row r="22" ht="18" customHeight="1">
      <c r="A22" s="8" t="inlineStr">
        <is>
          <t>Best Campaign Type</t>
        </is>
      </c>
      <c r="B22" s="9" t="inlineStr">
        <is>
          <t>Search</t>
        </is>
      </c>
      <c r="C22" s="9" t="inlineStr">
        <is>
          <t>Type</t>
        </is>
      </c>
      <c r="D22" s="10" t="inlineStr">
        <is>
          <t>Google</t>
        </is>
      </c>
      <c r="E22" s="10" t="inlineStr">
        <is>
          <t>Highest intent conversion</t>
        </is>
      </c>
      <c r="F22" s="11" t="inlineStr">
        <is>
          <t>HIGH</t>
        </is>
      </c>
    </row>
    <row r="23" ht="18" customHeight="1"/>
    <row r="24" ht="18" customHeight="1"/>
    <row r="25" ht="18" customHeight="1"/>
    <row r="26" ht="18" customHeight="1"/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5" customHeight="1">
      <c r="A1" s="1" t="inlineStr">
        <is>
          <t>CROSS-PLATFORM PERFORMANCE COMPARISON</t>
        </is>
      </c>
    </row>
    <row r="3" ht="22" customHeight="1">
      <c r="A3" s="3" t="inlineStr">
        <is>
          <t>Platform</t>
        </is>
      </c>
      <c r="B3" s="3" t="inlineStr">
        <is>
          <t>Total Spend</t>
        </is>
      </c>
      <c r="C3" s="3" t="inlineStr">
        <is>
          <t>Impressions</t>
        </is>
      </c>
      <c r="D3" s="3" t="inlineStr">
        <is>
          <t>Clicks</t>
        </is>
      </c>
      <c r="E3" s="3" t="inlineStr">
        <is>
          <t>CTR (%)</t>
        </is>
      </c>
      <c r="F3" s="3" t="inlineStr">
        <is>
          <t>ROAS</t>
        </is>
      </c>
      <c r="G3" s="3" t="inlineStr">
        <is>
          <t>ROI (%)</t>
        </is>
      </c>
    </row>
    <row r="4" ht="20" customHeight="1">
      <c r="A4" s="10" t="inlineStr">
        <is>
          <t>Facebook</t>
        </is>
      </c>
      <c r="B4" s="13" t="n">
        <v>45000</v>
      </c>
      <c r="C4" s="13" t="n">
        <v>1875000</v>
      </c>
      <c r="D4" s="13" t="n">
        <v>45000</v>
      </c>
      <c r="E4" s="14">
        <f>D4/C4*100</f>
        <v/>
      </c>
      <c r="F4" s="14" t="n">
        <v>3.1</v>
      </c>
      <c r="G4" s="14">
        <f>((F4*B4)-B4)/B4*100</f>
        <v/>
      </c>
    </row>
    <row r="5" ht="20" customHeight="1">
      <c r="A5" s="6" t="inlineStr">
        <is>
          <t>Instagram</t>
        </is>
      </c>
      <c r="B5" s="15" t="n">
        <v>38000</v>
      </c>
      <c r="C5" s="15" t="n">
        <v>2111111</v>
      </c>
      <c r="D5" s="15" t="n">
        <v>38000</v>
      </c>
      <c r="E5" s="16">
        <f>D5/C5*100</f>
        <v/>
      </c>
      <c r="F5" s="16" t="n">
        <v>2.8</v>
      </c>
      <c r="G5" s="16">
        <f>((F5*B5)-B5)/B5*100</f>
        <v/>
      </c>
    </row>
    <row r="6" ht="20" customHeight="1">
      <c r="A6" s="10" t="inlineStr">
        <is>
          <t>Google</t>
        </is>
      </c>
      <c r="B6" s="13" t="n">
        <v>52000</v>
      </c>
      <c r="C6" s="13" t="n">
        <v>1677419</v>
      </c>
      <c r="D6" s="13" t="n">
        <v>52000</v>
      </c>
      <c r="E6" s="14">
        <f>D6/C6*100</f>
        <v/>
      </c>
      <c r="F6" s="14" t="n">
        <v>4.2</v>
      </c>
      <c r="G6" s="14">
        <f>((F6*B6)-B6)/B6*100</f>
        <v/>
      </c>
    </row>
    <row r="7" ht="20" customHeight="1">
      <c r="A7" s="6" t="inlineStr">
        <is>
          <t>LinkedIn</t>
        </is>
      </c>
      <c r="B7" s="15" t="n">
        <v>28000</v>
      </c>
      <c r="C7" s="15" t="n">
        <v>3111111</v>
      </c>
      <c r="D7" s="15" t="n">
        <v>28000</v>
      </c>
      <c r="E7" s="16">
        <f>D7/C7*100</f>
        <v/>
      </c>
      <c r="F7" s="16" t="n">
        <v>1.9</v>
      </c>
      <c r="G7" s="16">
        <f>((F7*B7)-B7)/B7*100</f>
        <v/>
      </c>
    </row>
    <row r="8" ht="20" customHeight="1">
      <c r="A8" s="10" t="inlineStr">
        <is>
          <t>Twitter</t>
        </is>
      </c>
      <c r="B8" s="13" t="n">
        <v>18000</v>
      </c>
      <c r="C8" s="13" t="n">
        <v>1500000</v>
      </c>
      <c r="D8" s="13" t="n">
        <v>18000</v>
      </c>
      <c r="E8" s="14">
        <f>D8/C8*100</f>
        <v/>
      </c>
      <c r="F8" s="14" t="n">
        <v>1.4</v>
      </c>
      <c r="G8" s="14">
        <f>((F8*B8)-B8)/B8*100</f>
        <v/>
      </c>
    </row>
    <row r="9" ht="20" customHeight="1">
      <c r="A9" s="4" t="inlineStr">
        <is>
          <t>TOTAL</t>
        </is>
      </c>
      <c r="B9" s="17">
        <f>SUM(B4:B8)</f>
        <v/>
      </c>
      <c r="C9" s="17">
        <f>SUM(C4:C8)</f>
        <v/>
      </c>
      <c r="D9" s="17">
        <f>SUM(D4:D8)</f>
        <v/>
      </c>
      <c r="E9" s="18">
        <f>D9/C9*100</f>
        <v/>
      </c>
      <c r="F9" s="18">
        <f>AVERAGE(F4:F8)</f>
        <v/>
      </c>
      <c r="G9" s="18">
        <f>AVERAGE(G4:G8)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4" customWidth="1" min="4" max="4"/>
    <col width="32" customWidth="1" min="5" max="5"/>
  </cols>
  <sheetData>
    <row r="1" ht="35" customHeight="1">
      <c r="A1" s="1" t="inlineStr">
        <is>
          <t>KMEANS CAMPAIGN SEGMENTATION (3 CLUSTERS)</t>
        </is>
      </c>
    </row>
    <row r="3" ht="22" customHeight="1">
      <c r="A3" s="3" t="inlineStr">
        <is>
          <t>Segment</t>
        </is>
      </c>
      <c r="B3" s="3" t="inlineStr">
        <is>
          <t>Campaigns</t>
        </is>
      </c>
      <c r="C3" s="3" t="inlineStr">
        <is>
          <t>Avg ROAS</t>
        </is>
      </c>
      <c r="D3" s="3" t="inlineStr">
        <is>
          <t>Avg CTR (%)</t>
        </is>
      </c>
      <c r="E3" s="3" t="inlineStr">
        <is>
          <t>Recommended Action</t>
        </is>
      </c>
    </row>
    <row r="4" ht="20" customHeight="1">
      <c r="A4" s="19" t="inlineStr">
        <is>
          <t>High ROAS (Cluster 1)</t>
        </is>
      </c>
      <c r="B4" s="9" t="n">
        <v>38</v>
      </c>
      <c r="C4" s="9" t="n">
        <v>4.8</v>
      </c>
      <c r="D4" s="9" t="n">
        <v>3.2</v>
      </c>
      <c r="E4" s="10" t="inlineStr">
        <is>
          <t>Scale budget immediately</t>
        </is>
      </c>
    </row>
    <row r="5" ht="20" customHeight="1">
      <c r="A5" s="4" t="inlineStr">
        <is>
          <t>Medium Performance (Cluster 2)</t>
        </is>
      </c>
      <c r="B5" s="5" t="n">
        <v>110</v>
      </c>
      <c r="C5" s="5" t="n">
        <v>2.9</v>
      </c>
      <c r="D5" s="5" t="n">
        <v>1.9</v>
      </c>
      <c r="E5" s="6" t="inlineStr">
        <is>
          <t>A/B test creatives</t>
        </is>
      </c>
    </row>
    <row r="6" ht="20" customHeight="1">
      <c r="A6" s="20" t="inlineStr">
        <is>
          <t>At-Risk (Cluster 3)</t>
        </is>
      </c>
      <c r="B6" s="9" t="n">
        <v>52</v>
      </c>
      <c r="C6" s="9" t="n">
        <v>1.1</v>
      </c>
      <c r="D6" s="9" t="n">
        <v>0.7</v>
      </c>
      <c r="E6" s="10" t="inlineStr">
        <is>
          <t>Pause or optimize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2026-03-22T11:30:49Z</dcterms:created>
  <dcterms:modified xmlns:dcterms="http://purl.org/dc/terms/" xmlns:xsi="http://www.w3.org/2001/XMLSchema-instance" xsi:type="dcterms:W3CDTF">2026-03-22T11:30:49Z</dcterms:modified>
</cp:coreProperties>
</file>